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el" sheetId="1" r:id="rId4"/>
    <sheet state="visible" name="Annotations" sheetId="2" r:id="rId5"/>
  </sheets>
  <definedNames/>
  <calcPr/>
</workbook>
</file>

<file path=xl/sharedStrings.xml><?xml version="1.0" encoding="utf-8"?>
<sst xmlns="http://schemas.openxmlformats.org/spreadsheetml/2006/main" count="40" uniqueCount="34">
  <si>
    <t>Trimestre</t>
  </si>
  <si>
    <t>Urbain</t>
  </si>
  <si>
    <t>Rural</t>
  </si>
  <si>
    <t>Ensemble</t>
  </si>
  <si>
    <t>Années</t>
  </si>
  <si>
    <t>Année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</si>
  <si>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</si>
  <si>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</si>
  <si>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</si>
  <si>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</si>
  <si>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</si>
  <si>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</si>
  <si>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</si>
  <si>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</si>
  <si>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</si>
  <si>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</si>
  <si>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</si>
  <si>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</si>
  <si>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</si>
  <si>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</si>
  <si>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</si>
  <si>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</si>
  <si>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</si>
  <si>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</si>
  <si>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</si>
  <si>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</si>
  <si>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</si>
  <si>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</si>
  <si>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</si>
  <si>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</si>
  <si>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</si>
  <si>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</si>
  <si>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</si>
  <si>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Source : Enquête nationale sur l'emploi, Haut Commissariat au Plan.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</si>
</sst>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9">
    <font>
      <sz val="10.0"/>
      <color rgb="FF000000"/>
      <name val="Arial"/>
    </font>
    <font>
      <b/>
      <sz val="8.0"/>
      <color rgb="FFD2691E"/>
      <name val="Tahoma"/>
    </font>
    <font>
      <sz val="11.0"/>
      <color rgb="FF000000"/>
      <name val="Calibri"/>
    </font>
    <font>
      <b/>
      <sz val="8.0"/>
      <color rgb="FF808080"/>
      <name val="Tahoma"/>
    </font>
    <font>
      <sz val="8.0"/>
      <color rgb="FF000000"/>
      <name val="Tahoma"/>
    </font>
    <font>
      <sz val="8.0"/>
      <name val="Tahoma"/>
    </font>
    <font>
      <b/>
      <sz val="8.0"/>
      <color rgb="FF000000"/>
      <name val="Tahoma"/>
    </font>
    <font/>
    <font>
      <b/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3" fillId="0" fontId="3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2" fontId="3" numFmtId="49" xfId="0" applyAlignment="1" applyFill="1" applyFont="1" applyNumberFormat="1">
      <alignment horizontal="center" shrinkToFit="0" vertical="bottom" wrapText="1"/>
    </xf>
    <xf borderId="5" fillId="2" fontId="3" numFmtId="49" xfId="0" applyAlignment="1" applyBorder="1" applyFill="1" applyFont="1" applyNumberFormat="1">
      <alignment horizontal="center" readingOrder="0" shrinkToFit="0" vertical="bottom" wrapText="1"/>
    </xf>
    <xf borderId="6" fillId="0" fontId="5" numFmtId="164" xfId="0" applyAlignment="1" applyBorder="1" applyFont="1" applyNumberForma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5" fillId="2" fontId="3" numFmtId="49" xfId="0" applyAlignment="1" applyBorder="1" applyFill="1" applyFont="1" applyNumberFormat="1">
      <alignment horizontal="center" shrinkToFit="0" vertical="bottom" wrapText="1"/>
    </xf>
    <xf borderId="6" fillId="0" fontId="5" numFmtId="164" xfId="0" applyAlignment="1" applyBorder="1" applyFont="1" applyNumberFormat="1">
      <alignment horizontal="center" shrinkToFit="0" wrapText="1"/>
    </xf>
    <xf borderId="6" fillId="0" fontId="4" numFmtId="165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7" numFmtId="0" xfId="0" applyBorder="1" applyFont="1"/>
    <xf borderId="6" fillId="0" fontId="7" numFmtId="0" xfId="0" applyBorder="1" applyFont="1"/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Annuel!$C$21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Annuel!$C$22:$C$48</c:f>
              <c:numCache/>
            </c:numRef>
          </c:val>
          <c:smooth val="0"/>
        </c:ser>
        <c:ser>
          <c:idx val="1"/>
          <c:order val="1"/>
          <c:tx>
            <c:strRef>
              <c:f>Annotations!$G$1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Annotations!$G$2:$G$23</c:f>
              <c:numCache/>
            </c:numRef>
          </c:val>
          <c:smooth val="0"/>
        </c:ser>
        <c:ser>
          <c:idx val="2"/>
          <c:order val="2"/>
          <c:tx>
            <c:strRef>
              <c:f>Annuel!$D$21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Annuel!$D$22:$D$48</c:f>
              <c:numCache/>
            </c:numRef>
          </c:val>
          <c:smooth val="0"/>
        </c:ser>
        <c:axId val="1682980314"/>
        <c:axId val="691854701"/>
      </c:lineChart>
      <c:catAx>
        <c:axId val="1682980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691854701"/>
      </c:catAx>
      <c:valAx>
        <c:axId val="691854701"/>
        <c:scaling>
          <c:orientation val="minMax"/>
          <c:max val="25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682980314"/>
        <c:majorUnit val="5.0"/>
        <c:minorUnit val="2.5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171450</xdr:rowOff>
    </xdr:from>
    <xdr:ext cx="7029450" cy="36195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23.13"/>
    <col customWidth="1" min="6" max="6" width="2.75"/>
  </cols>
  <sheetData>
    <row r="21">
      <c r="A21" s="6"/>
      <c r="B21" s="7" t="s">
        <v>5</v>
      </c>
      <c r="C21" s="7" t="s">
        <v>1</v>
      </c>
      <c r="D21" s="7" t="s">
        <v>2</v>
      </c>
      <c r="E21" s="7" t="s">
        <v>3</v>
      </c>
      <c r="F21" s="6"/>
    </row>
    <row r="22">
      <c r="A22" s="8"/>
      <c r="B22" s="9" t="s">
        <v>6</v>
      </c>
      <c r="C22" s="10">
        <v>16.4</v>
      </c>
      <c r="D22" s="10">
        <v>6.6</v>
      </c>
      <c r="E22" s="10">
        <v>13.0</v>
      </c>
      <c r="F22" s="11"/>
    </row>
    <row r="23">
      <c r="A23" s="8"/>
      <c r="B23" s="9" t="s">
        <v>7</v>
      </c>
      <c r="C23" s="10">
        <v>16.9</v>
      </c>
      <c r="D23" s="10">
        <v>6.8</v>
      </c>
      <c r="E23" s="10">
        <v>13.3</v>
      </c>
      <c r="F23" s="11"/>
    </row>
    <row r="24">
      <c r="A24" s="8"/>
      <c r="B24" s="9" t="s">
        <v>8</v>
      </c>
      <c r="C24" s="10">
        <v>16.8</v>
      </c>
      <c r="D24" s="10">
        <v>6.3</v>
      </c>
      <c r="E24" s="10">
        <v>13.0</v>
      </c>
      <c r="F24" s="11"/>
    </row>
    <row r="25">
      <c r="A25" s="8"/>
      <c r="B25" s="9" t="s">
        <v>9</v>
      </c>
      <c r="C25" s="10">
        <v>15.8</v>
      </c>
      <c r="D25" s="10">
        <v>5.2</v>
      </c>
      <c r="E25" s="10">
        <v>11.8</v>
      </c>
      <c r="F25" s="11"/>
    </row>
    <row r="26">
      <c r="A26" s="8"/>
      <c r="B26" s="9" t="s">
        <v>10</v>
      </c>
      <c r="C26" s="10">
        <v>16.9</v>
      </c>
      <c r="D26" s="10">
        <v>5.0</v>
      </c>
      <c r="E26" s="10">
        <v>12.3</v>
      </c>
      <c r="F26" s="11"/>
    </row>
    <row r="27">
      <c r="A27" s="8"/>
      <c r="B27" s="9" t="s">
        <v>11</v>
      </c>
      <c r="C27" s="10">
        <v>15.8</v>
      </c>
      <c r="D27" s="10">
        <v>5.9</v>
      </c>
      <c r="E27" s="10">
        <v>11.9</v>
      </c>
      <c r="F27" s="11"/>
    </row>
    <row r="28">
      <c r="A28" s="8"/>
      <c r="B28" s="9" t="s">
        <v>12</v>
      </c>
      <c r="C28" s="10">
        <v>12.9</v>
      </c>
      <c r="D28" s="10">
        <v>3.7</v>
      </c>
      <c r="E28" s="10">
        <v>9.2</v>
      </c>
      <c r="F28" s="11"/>
    </row>
    <row r="29">
      <c r="A29" s="8"/>
      <c r="B29" s="9" t="s">
        <v>13</v>
      </c>
      <c r="C29" s="10">
        <v>13.8</v>
      </c>
      <c r="D29" s="10">
        <v>3.6</v>
      </c>
      <c r="E29" s="10">
        <v>9.5</v>
      </c>
      <c r="F29" s="11"/>
    </row>
    <row r="30">
      <c r="A30" s="8"/>
      <c r="B30" s="9" t="s">
        <v>14</v>
      </c>
      <c r="C30" s="10">
        <v>14.7</v>
      </c>
      <c r="D30" s="10">
        <v>4.0</v>
      </c>
      <c r="E30" s="10">
        <v>10.2</v>
      </c>
      <c r="F30" s="11"/>
    </row>
    <row r="31">
      <c r="A31" s="8"/>
      <c r="B31" s="12" t="s">
        <v>15</v>
      </c>
      <c r="C31" s="13">
        <v>13.9</v>
      </c>
      <c r="D31" s="13">
        <v>4.2</v>
      </c>
      <c r="E31" s="13">
        <v>9.4</v>
      </c>
      <c r="F31" s="11"/>
    </row>
    <row r="32">
      <c r="A32" s="8"/>
      <c r="B32" s="12" t="s">
        <v>16</v>
      </c>
      <c r="C32" s="13">
        <v>14.6</v>
      </c>
      <c r="D32" s="13">
        <v>4.1</v>
      </c>
      <c r="E32" s="13">
        <v>9.7</v>
      </c>
      <c r="F32" s="11"/>
    </row>
    <row r="33">
      <c r="A33" s="8"/>
      <c r="B33" s="12" t="s">
        <v>17</v>
      </c>
      <c r="C33" s="14">
        <v>14.820719165403984</v>
      </c>
      <c r="D33" s="14">
        <v>4.22703157668365</v>
      </c>
      <c r="E33" s="14">
        <v>9.883363616477913</v>
      </c>
      <c r="F33" s="11"/>
    </row>
    <row r="34">
      <c r="A34" s="8"/>
      <c r="B34" s="12" t="s">
        <v>18</v>
      </c>
      <c r="C34" s="13">
        <v>13.976272371278776</v>
      </c>
      <c r="D34" s="13">
        <v>3.8077219000876834</v>
      </c>
      <c r="E34" s="13">
        <v>9.211194139709226</v>
      </c>
      <c r="F34" s="11"/>
    </row>
    <row r="35">
      <c r="A35" s="8"/>
      <c r="B35" s="12" t="s">
        <v>19</v>
      </c>
      <c r="C35" s="13">
        <v>13.412068138605763</v>
      </c>
      <c r="D35" s="13">
        <v>3.9615026412299823</v>
      </c>
      <c r="E35" s="13">
        <v>8.989761968096161</v>
      </c>
      <c r="F35" s="11"/>
    </row>
    <row r="36">
      <c r="A36" s="8"/>
      <c r="B36" s="12" t="s">
        <v>20</v>
      </c>
      <c r="C36" s="14">
        <v>13.41602601515361</v>
      </c>
      <c r="D36" s="14">
        <v>3.8783219573652197</v>
      </c>
      <c r="E36" s="14">
        <v>8.912200201862527</v>
      </c>
      <c r="F36" s="11"/>
    </row>
    <row r="37">
      <c r="A37" s="8"/>
      <c r="B37" s="12" t="s">
        <v>21</v>
      </c>
      <c r="C37" s="14">
        <v>13.740448971350668</v>
      </c>
      <c r="D37" s="14">
        <v>3.9210562054271105</v>
      </c>
      <c r="E37" s="14">
        <v>9.064129176043874</v>
      </c>
      <c r="F37" s="11"/>
    </row>
    <row r="38">
      <c r="A38" s="8"/>
      <c r="B38" s="12" t="s">
        <v>22</v>
      </c>
      <c r="C38" s="14">
        <v>13.786731086678655</v>
      </c>
      <c r="D38" s="14">
        <v>3.9593634960658513</v>
      </c>
      <c r="E38" s="14">
        <v>9.098264559408241</v>
      </c>
      <c r="F38" s="11"/>
    </row>
    <row r="39">
      <c r="A39" s="8"/>
      <c r="B39" s="12" t="s">
        <v>23</v>
      </c>
      <c r="C39" s="14">
        <v>14.65042356469885</v>
      </c>
      <c r="D39" s="14">
        <v>4.029035891588213</v>
      </c>
      <c r="E39" s="14">
        <v>9.566215520820593</v>
      </c>
      <c r="F39" s="11"/>
    </row>
    <row r="40">
      <c r="A40" s="8"/>
      <c r="B40" s="12" t="s">
        <v>24</v>
      </c>
      <c r="C40" s="14">
        <v>15.41483837666991</v>
      </c>
      <c r="D40" s="14">
        <v>3.8197475024115572</v>
      </c>
      <c r="E40" s="14">
        <v>9.796263544465187</v>
      </c>
      <c r="F40" s="11"/>
    </row>
    <row r="41">
      <c r="A41" s="8"/>
      <c r="B41" s="12" t="s">
        <v>25</v>
      </c>
      <c r="C41" s="14">
        <v>15.485097003265563</v>
      </c>
      <c r="D41" s="14">
        <v>3.6720905964031636</v>
      </c>
      <c r="E41" s="14">
        <v>9.667588911119772</v>
      </c>
      <c r="F41" s="11"/>
    </row>
    <row r="42">
      <c r="A42" s="8"/>
      <c r="B42" s="12" t="s">
        <v>26</v>
      </c>
      <c r="C42" s="14">
        <v>18.441131103511367</v>
      </c>
      <c r="D42" s="14">
        <v>3.56633147357471</v>
      </c>
      <c r="E42" s="14">
        <v>11.054167891112698</v>
      </c>
      <c r="F42" s="11"/>
    </row>
    <row r="43">
      <c r="A43" s="8"/>
      <c r="B43" s="12" t="s">
        <v>27</v>
      </c>
      <c r="C43" s="14">
        <v>18.445692361327374</v>
      </c>
      <c r="D43" s="14">
        <v>3.1347826953261677</v>
      </c>
      <c r="E43" s="14">
        <v>10.79395999680238</v>
      </c>
      <c r="F43" s="11"/>
    </row>
    <row r="44">
      <c r="A44" s="8"/>
      <c r="B44" s="12" t="s">
        <v>28</v>
      </c>
      <c r="C44" s="14">
        <v>19.344078663049764</v>
      </c>
      <c r="D44" s="14">
        <v>3.4216886969366325</v>
      </c>
      <c r="E44" s="14">
        <v>11.5372496664952</v>
      </c>
      <c r="F44" s="11"/>
    </row>
    <row r="45">
      <c r="A45" s="8"/>
      <c r="B45" s="12" t="s">
        <v>29</v>
      </c>
      <c r="C45" s="14">
        <v>18.302024304944855</v>
      </c>
      <c r="D45" s="14">
        <v>3.8480464202870013</v>
      </c>
      <c r="E45" s="14">
        <v>11.323715807056821</v>
      </c>
      <c r="F45" s="11"/>
    </row>
    <row r="46">
      <c r="A46" s="8"/>
      <c r="B46" s="12" t="s">
        <v>30</v>
      </c>
      <c r="C46" s="14">
        <v>19.53167556144766</v>
      </c>
      <c r="D46" s="14">
        <v>4.459187348569183</v>
      </c>
      <c r="E46" s="14">
        <v>12.257910777689624</v>
      </c>
      <c r="F46" s="11"/>
    </row>
    <row r="47">
      <c r="A47" s="8"/>
      <c r="B47" s="12" t="s">
        <v>31</v>
      </c>
      <c r="C47" s="14">
        <v>21.4468251841736</v>
      </c>
      <c r="D47" s="14">
        <v>5.017111620741046</v>
      </c>
      <c r="E47" s="14">
        <v>13.392940023570855</v>
      </c>
      <c r="F47" s="11"/>
    </row>
    <row r="48">
      <c r="A48" s="8"/>
      <c r="B48" s="12" t="s">
        <v>32</v>
      </c>
      <c r="C48" s="14">
        <v>22.044467111376417</v>
      </c>
      <c r="D48" s="14">
        <v>5.410390646256011</v>
      </c>
      <c r="E48" s="14">
        <v>13.830202302812353</v>
      </c>
      <c r="F48" s="11"/>
    </row>
    <row r="49">
      <c r="A49" s="15"/>
      <c r="B49" s="16" t="s">
        <v>33</v>
      </c>
      <c r="C49" s="17"/>
      <c r="D49" s="17"/>
      <c r="E49" s="18"/>
      <c r="F49" s="19"/>
    </row>
  </sheetData>
  <mergeCells count="1">
    <mergeCell ref="B49:E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1" t="s">
        <v>4</v>
      </c>
      <c r="G1" s="2" t="s">
        <v>1</v>
      </c>
      <c r="H1" s="2" t="s">
        <v>2</v>
      </c>
      <c r="I1" s="2" t="s">
        <v>3</v>
      </c>
    </row>
    <row r="2">
      <c r="A2" s="4" t="str">
        <f>IFERROR(__xludf.DUMMYFUNCTION("to_text(INDIRECT(""Trimestriel!B22""))"),"2025T4")</f>
        <v>2025T4</v>
      </c>
      <c r="B2" s="5" t="str">
        <f>IFERROR(__xludf.DUMMYFUNCTION("to_text(INDIRECT(""Trimestriel!C22""))"),"16,5")</f>
        <v>16,5</v>
      </c>
      <c r="C2" s="5" t="str">
        <f>IFERROR(__xludf.DUMMYFUNCTION("to_text(INDIRECT(""Trimestriel!D22""))"),"6,2")</f>
        <v>6,2</v>
      </c>
      <c r="D2" s="5" t="str">
        <f>IFERROR(__xludf.DUMMYFUNCTION("to_text(INDIRECT(""Trimestriel!E22""))"),"12,9")</f>
        <v>12,9</v>
      </c>
      <c r="E2" s="3"/>
      <c r="F2" s="4" t="str">
        <f>IFERROR(__xludf.DUMMYFUNCTION("to_text(INDIRECT(""Annuel!B22""))"),"2025")</f>
        <v>2025</v>
      </c>
      <c r="G2" s="5" t="str">
        <f>IFERROR(__xludf.DUMMYFUNCTION("to_text(INDIRECT(""Annuel!C22""))"),"16,4")</f>
        <v>16,4</v>
      </c>
      <c r="H2" s="5" t="str">
        <f>IFERROR(__xludf.DUMMYFUNCTION("to_text(INDIRECT(""Annuel!D22""))"),"6,6")</f>
        <v>6,6</v>
      </c>
      <c r="I2" s="5" t="str">
        <f>IFERROR(__xludf.DUMMYFUNCTION("to_text(INDIRECT(""Annuel!E22""))"),"13,0")</f>
        <v>13,0</v>
      </c>
    </row>
  </sheetData>
  <drawing r:id="rId1"/>
</worksheet>
</file>