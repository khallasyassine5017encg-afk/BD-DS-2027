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el" sheetId="1" r:id="rId4"/>
    <sheet state="visible" name="Annotations" sheetId="2" r:id="rId5"/>
  </sheets>
  <definedNames/>
  <calcPr/>
</workbook>
</file>

<file path=xl/sharedStrings.xml><?xml version="1.0" encoding="utf-8"?>
<sst xmlns="http://schemas.openxmlformats.org/spreadsheetml/2006/main" count="40" uniqueCount="36">
  <si>
    <t>Trimestres </t>
  </si>
  <si>
    <t>Urbain </t>
  </si>
  <si>
    <t>Rural </t>
  </si>
  <si>
    <t>Ensemble </t>
  </si>
  <si>
    <t>Années</t>
  </si>
  <si>
    <t>Urbain</t>
  </si>
  <si>
    <t>Rural</t>
  </si>
  <si>
    <t>Ensemble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</si>
  <si>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</si>
  <si>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</si>
  <si>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</si>
  <si>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</si>
  <si>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</si>
  <si>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</si>
  <si>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</si>
  <si>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</si>
  <si>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</si>
  <si>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</si>
  <si>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</si>
  <si>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</si>
  <si>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</si>
  <si>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</si>
  <si>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</si>
  <si>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</si>
  <si>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</si>
  <si>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</si>
  <si>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</si>
  <si>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</si>
  <si>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</si>
  <si>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</si>
  <si>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</si>
  <si>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</si>
  <si>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</si>
  <si>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</si>
  <si>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</si>
  <si>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Source : Enquête nationale sur l'emploi, Haut Commissariat au Plan.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</si>
</sst>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"/>
  </numFmts>
  <fonts count="8">
    <font>
      <sz val="10.0"/>
      <color rgb="FF000000"/>
      <name val="Arial"/>
    </font>
    <font>
      <b/>
      <sz val="8.0"/>
      <color rgb="FFD2691E"/>
      <name val="Tahoma"/>
    </font>
    <font>
      <b/>
      <sz val="8.0"/>
      <color rgb="FF808080"/>
      <name val="Tahoma"/>
    </font>
    <font>
      <sz val="8.0"/>
      <color rgb="FF000000"/>
      <name val="Tahoma"/>
    </font>
    <font>
      <b/>
      <sz val="8.0"/>
      <color rgb="FF000000"/>
      <name val="Tahoma"/>
    </font>
    <font/>
    <font>
      <sz val="8.0"/>
      <name val="Tahoma"/>
    </font>
    <font>
      <b/>
      <sz val="8.0"/>
      <color rgb="FF000000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FF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0" fillId="0" fontId="5" numFmtId="49" xfId="0" applyFont="1" applyNumberFormat="1"/>
    <xf borderId="0" fillId="0" fontId="1" numFmtId="0" xfId="0" applyAlignment="1" applyFont="1">
      <alignment horizontal="center" readingOrder="0" shrinkToFit="0" vertical="center" wrapText="1"/>
    </xf>
    <xf borderId="0" fillId="2" fontId="2" numFmtId="49" xfId="0" applyAlignment="1" applyFill="1" applyFont="1" applyNumberFormat="1">
      <alignment horizontal="center" shrinkToFit="0" vertical="bottom" wrapText="1"/>
    </xf>
    <xf borderId="1" fillId="2" fontId="2" numFmtId="49" xfId="0" applyAlignment="1" applyBorder="1" applyFill="1" applyFont="1" applyNumberFormat="1">
      <alignment horizontal="center" readingOrder="0" shrinkToFit="0" vertical="bottom" wrapText="1"/>
    </xf>
    <xf borderId="2" fillId="0" fontId="3" numFmtId="164" xfId="0" applyAlignment="1" applyBorder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shrinkToFit="0" wrapText="1"/>
    </xf>
    <xf borderId="1" fillId="2" fontId="2" numFmtId="49" xfId="0" applyAlignment="1" applyBorder="1" applyFill="1" applyFont="1" applyNumberFormat="1">
      <alignment horizontal="center" shrinkToFit="0" vertical="bottom" wrapText="1"/>
    </xf>
    <xf borderId="2" fillId="0" fontId="3" numFmtId="164" xfId="0" applyAlignment="1" applyBorder="1" applyFont="1" applyNumberFormat="1">
      <alignment horizontal="center" shrinkToFit="0" vertical="bottom" wrapText="0"/>
    </xf>
    <xf borderId="3" fillId="2" fontId="2" numFmtId="49" xfId="0" applyAlignment="1" applyBorder="1" applyFill="1" applyFont="1" applyNumberFormat="1">
      <alignment horizontal="center" shrinkToFit="0" vertical="bottom" wrapText="1"/>
    </xf>
    <xf borderId="4" fillId="0" fontId="3" numFmtId="164" xfId="0" applyAlignment="1" applyBorder="1" applyFont="1" applyNumberFormat="1">
      <alignment horizontal="center" shrinkToFit="0" vertical="bottom" wrapText="0"/>
    </xf>
    <xf borderId="4" fillId="0" fontId="6" numFmtId="165" xfId="0" applyAlignment="1" applyBorder="1" applyFont="1" applyNumberFormat="1">
      <alignment horizontal="center" shrinkToFit="0" wrapText="1"/>
    </xf>
    <xf borderId="0" fillId="0" fontId="4" numFmtId="0" xfId="0" applyAlignment="1" applyFont="1">
      <alignment horizontal="center" readingOrder="0" shrinkToFit="0" vertical="center" wrapText="1"/>
    </xf>
    <xf borderId="5" fillId="0" fontId="4" numFmtId="49" xfId="0" applyAlignment="1" applyBorder="1" applyFont="1" applyNumberFormat="1">
      <alignment horizontal="center" readingOrder="0" shrinkToFit="0" vertical="center" wrapText="1"/>
    </xf>
    <xf borderId="6" fillId="0" fontId="5" numFmtId="0" xfId="0" applyBorder="1" applyFont="1"/>
    <xf borderId="4" fillId="0" fontId="5" numFmtId="0" xfId="0" applyBorder="1" applyFont="1"/>
    <xf borderId="0" fillId="0" fontId="7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Annuel!$C$21</c:f>
            </c:strRef>
          </c:tx>
          <c:spPr>
            <a:ln cmpd="sng" w="19050">
              <a:solidFill>
                <a:srgbClr val="4285F4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cat>
            <c:strRef>
              <c:f>Annuel!$B$22:$B$48</c:f>
            </c:strRef>
          </c:cat>
          <c:val>
            <c:numRef>
              <c:f>Annuel!$C$22:$C$48</c:f>
              <c:numCache/>
            </c:numRef>
          </c:val>
          <c:smooth val="0"/>
        </c:ser>
        <c:ser>
          <c:idx val="1"/>
          <c:order val="1"/>
          <c:tx>
            <c:strRef>
              <c:f>Annotations!$G$1</c:f>
            </c:strRef>
          </c:tx>
          <c:spPr>
            <a:ln cmpd="sng" w="19050">
              <a:solidFill>
                <a:srgbClr val="DB4437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cat>
            <c:strRef>
              <c:f>Annuel!$B$22:$B$48</c:f>
            </c:strRef>
          </c:cat>
          <c:val>
            <c:numRef>
              <c:f>Annotations!$G$2:$G$24</c:f>
              <c:numCache/>
            </c:numRef>
          </c:val>
          <c:smooth val="0"/>
        </c:ser>
        <c:ser>
          <c:idx val="2"/>
          <c:order val="2"/>
          <c:tx>
            <c:strRef>
              <c:f>Annuel!$D$21</c:f>
            </c:strRef>
          </c:tx>
          <c:spPr>
            <a:ln cmpd="sng" w="19050">
              <a:solidFill>
                <a:srgbClr val="F4B400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cat>
            <c:strRef>
              <c:f>Annuel!$B$22:$B$48</c:f>
            </c:strRef>
          </c:cat>
          <c:val>
            <c:numRef>
              <c:f>Annuel!$D$22:$D$48</c:f>
              <c:numCache/>
            </c:numRef>
          </c:val>
          <c:smooth val="0"/>
        </c:ser>
        <c:axId val="697687309"/>
        <c:axId val="2063980185"/>
      </c:lineChart>
      <c:catAx>
        <c:axId val="6976873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1" sz="1200">
                <a:solidFill>
                  <a:srgbClr val="000000"/>
                </a:solidFill>
                <a:latin typeface="Roboto"/>
              </a:defRPr>
            </a:pPr>
          </a:p>
        </c:txPr>
        <c:crossAx val="2063980185"/>
      </c:catAx>
      <c:valAx>
        <c:axId val="2063980185"/>
        <c:scaling>
          <c:orientation val="minMax"/>
          <c:max val="65.0"/>
          <c:min val="3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Roboto"/>
              </a:defRPr>
            </a:pPr>
          </a:p>
        </c:txPr>
        <c:crossAx val="697687309"/>
        <c:majorUnit val="10.0"/>
        <c:minorUnit val="5.0"/>
      </c:valAx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142875</xdr:rowOff>
    </xdr:from>
    <xdr:ext cx="7029450" cy="3619500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5" width="23.13"/>
    <col customWidth="1" min="6" max="6" width="2.75"/>
  </cols>
  <sheetData>
    <row r="1">
      <c r="B1" s="6"/>
    </row>
    <row r="2">
      <c r="B2" s="6"/>
    </row>
    <row r="3">
      <c r="B3" s="6"/>
    </row>
    <row r="4">
      <c r="B4" s="6"/>
    </row>
    <row r="5">
      <c r="B5" s="6"/>
    </row>
    <row r="6">
      <c r="B6" s="6"/>
    </row>
    <row r="7">
      <c r="B7" s="6"/>
    </row>
    <row r="8">
      <c r="B8" s="6"/>
    </row>
    <row r="9">
      <c r="B9" s="6"/>
    </row>
    <row r="10">
      <c r="B10" s="6"/>
    </row>
    <row r="11">
      <c r="B11" s="6"/>
    </row>
    <row r="12">
      <c r="B12" s="6"/>
    </row>
    <row r="13">
      <c r="B13" s="6"/>
    </row>
    <row r="14">
      <c r="B14" s="6"/>
    </row>
    <row r="15">
      <c r="B15" s="6"/>
    </row>
    <row r="16">
      <c r="B16" s="6"/>
    </row>
    <row r="17">
      <c r="B17" s="6"/>
    </row>
    <row r="18">
      <c r="B18" s="6"/>
    </row>
    <row r="19">
      <c r="B19" s="6"/>
    </row>
    <row r="20">
      <c r="B20" s="6"/>
    </row>
    <row r="21">
      <c r="A21" s="7"/>
      <c r="B21" s="1" t="s">
        <v>4</v>
      </c>
      <c r="C21" s="2" t="s">
        <v>5</v>
      </c>
      <c r="D21" s="2" t="s">
        <v>6</v>
      </c>
      <c r="E21" s="2" t="s">
        <v>7</v>
      </c>
      <c r="F21" s="7"/>
    </row>
    <row r="22">
      <c r="A22" s="8"/>
      <c r="B22" s="9" t="s">
        <v>8</v>
      </c>
      <c r="C22" s="10">
        <v>42.2</v>
      </c>
      <c r="D22" s="10">
        <v>46.1</v>
      </c>
      <c r="E22" s="10">
        <v>43.5</v>
      </c>
      <c r="F22" s="11"/>
    </row>
    <row r="23">
      <c r="A23" s="8"/>
      <c r="B23" s="9" t="s">
        <v>9</v>
      </c>
      <c r="C23" s="10">
        <v>42.0</v>
      </c>
      <c r="D23" s="10">
        <v>46.5</v>
      </c>
      <c r="E23" s="10">
        <v>43.5</v>
      </c>
      <c r="F23" s="11"/>
    </row>
    <row r="24">
      <c r="A24" s="8"/>
      <c r="B24" s="9" t="s">
        <v>10</v>
      </c>
      <c r="C24" s="10">
        <v>41.8</v>
      </c>
      <c r="D24" s="10">
        <v>47.3</v>
      </c>
      <c r="E24" s="10">
        <v>43.6</v>
      </c>
      <c r="F24" s="11"/>
    </row>
    <row r="25">
      <c r="A25" s="8"/>
      <c r="B25" s="9" t="s">
        <v>11</v>
      </c>
      <c r="C25" s="10">
        <v>41.9</v>
      </c>
      <c r="D25" s="10">
        <v>49.1</v>
      </c>
      <c r="E25" s="10">
        <v>44.3</v>
      </c>
      <c r="F25" s="11"/>
    </row>
    <row r="26">
      <c r="A26" s="8"/>
      <c r="B26" s="9" t="s">
        <v>12</v>
      </c>
      <c r="C26" s="10">
        <v>42.3</v>
      </c>
      <c r="D26" s="10">
        <v>50.9</v>
      </c>
      <c r="E26" s="10">
        <v>45.3</v>
      </c>
      <c r="F26" s="11"/>
    </row>
    <row r="27">
      <c r="A27" s="8"/>
      <c r="B27" s="9" t="s">
        <v>13</v>
      </c>
      <c r="C27" s="10">
        <v>41.9</v>
      </c>
      <c r="D27" s="10">
        <v>50.0</v>
      </c>
      <c r="E27" s="10">
        <v>44.8</v>
      </c>
      <c r="F27" s="11"/>
    </row>
    <row r="28">
      <c r="A28" s="8"/>
      <c r="B28" s="9" t="s">
        <v>14</v>
      </c>
      <c r="C28" s="10">
        <v>42.3</v>
      </c>
      <c r="D28" s="10">
        <v>52.2</v>
      </c>
      <c r="E28" s="10">
        <v>45.8</v>
      </c>
      <c r="F28" s="11"/>
    </row>
    <row r="29">
      <c r="A29" s="8"/>
      <c r="B29" s="9" t="s">
        <v>15</v>
      </c>
      <c r="C29" s="10">
        <v>42.0</v>
      </c>
      <c r="D29" s="10">
        <v>53.2</v>
      </c>
      <c r="E29" s="10">
        <v>46.0</v>
      </c>
      <c r="F29" s="11"/>
    </row>
    <row r="30">
      <c r="A30" s="8"/>
      <c r="B30" s="9" t="s">
        <v>16</v>
      </c>
      <c r="C30" s="10">
        <v>42.4</v>
      </c>
      <c r="D30" s="10">
        <v>54.1</v>
      </c>
      <c r="E30" s="10">
        <v>46.7</v>
      </c>
      <c r="F30" s="11"/>
    </row>
    <row r="31">
      <c r="A31" s="8"/>
      <c r="B31" s="12" t="s">
        <v>17</v>
      </c>
      <c r="C31" s="13">
        <v>40.5</v>
      </c>
      <c r="D31" s="13">
        <v>55.7</v>
      </c>
      <c r="E31" s="13">
        <v>46.4</v>
      </c>
      <c r="F31" s="11"/>
    </row>
    <row r="32">
      <c r="A32" s="8"/>
      <c r="B32" s="14" t="s">
        <v>18</v>
      </c>
      <c r="C32" s="15">
        <v>41.4</v>
      </c>
      <c r="D32" s="15">
        <v>56.7</v>
      </c>
      <c r="E32" s="15">
        <v>47.4</v>
      </c>
      <c r="F32" s="11"/>
    </row>
    <row r="33">
      <c r="A33" s="8"/>
      <c r="B33" s="12" t="s">
        <v>19</v>
      </c>
      <c r="C33" s="13">
        <v>42.138738364367256</v>
      </c>
      <c r="D33" s="13">
        <v>57.15150417325618</v>
      </c>
      <c r="E33" s="13">
        <v>48.01740714296893</v>
      </c>
      <c r="F33" s="11"/>
    </row>
    <row r="34">
      <c r="A34" s="8"/>
      <c r="B34" s="14" t="s">
        <v>20</v>
      </c>
      <c r="C34" s="15">
        <v>42.44706638912517</v>
      </c>
      <c r="D34" s="15">
        <v>57.46182587114649</v>
      </c>
      <c r="E34" s="15">
        <v>48.3</v>
      </c>
      <c r="F34" s="11"/>
    </row>
    <row r="35">
      <c r="A35" s="8"/>
      <c r="B35" s="14" t="s">
        <v>21</v>
      </c>
      <c r="C35" s="15">
        <v>42.76062062888094</v>
      </c>
      <c r="D35" s="15">
        <v>56.979611228632955</v>
      </c>
      <c r="E35" s="15">
        <v>48.41404615973582</v>
      </c>
      <c r="F35" s="11"/>
    </row>
    <row r="36">
      <c r="A36" s="8"/>
      <c r="B36" s="14" t="s">
        <v>22</v>
      </c>
      <c r="C36" s="15">
        <v>43.3</v>
      </c>
      <c r="D36" s="15">
        <v>58.0</v>
      </c>
      <c r="E36" s="15">
        <v>49.2</v>
      </c>
      <c r="F36" s="11"/>
    </row>
    <row r="37">
      <c r="A37" s="8"/>
      <c r="B37" s="14" t="s">
        <v>23</v>
      </c>
      <c r="C37" s="15">
        <v>43.56031255678721</v>
      </c>
      <c r="D37" s="15">
        <v>58.44183284357773</v>
      </c>
      <c r="E37" s="15">
        <v>49.57173366824374</v>
      </c>
      <c r="F37" s="11"/>
    </row>
    <row r="38">
      <c r="A38" s="8"/>
      <c r="B38" s="14" t="s">
        <v>24</v>
      </c>
      <c r="C38" s="15">
        <v>43.99920809704411</v>
      </c>
      <c r="D38" s="15">
        <v>58.43651855580133</v>
      </c>
      <c r="E38" s="15">
        <v>49.878253561211736</v>
      </c>
      <c r="F38" s="11"/>
    </row>
    <row r="39">
      <c r="A39" s="8"/>
      <c r="B39" s="14" t="s">
        <v>25</v>
      </c>
      <c r="C39" s="15">
        <v>44.74868656598618</v>
      </c>
      <c r="D39" s="15">
        <v>58.983145048125834</v>
      </c>
      <c r="E39" s="15">
        <v>50.59318273063561</v>
      </c>
      <c r="F39" s="11"/>
    </row>
    <row r="40">
      <c r="A40" s="8"/>
      <c r="B40" s="14" t="s">
        <v>26</v>
      </c>
      <c r="C40" s="15">
        <v>44.88606871348535</v>
      </c>
      <c r="D40" s="15">
        <v>59.69029747631912</v>
      </c>
      <c r="E40" s="15">
        <v>51.01736143081064</v>
      </c>
      <c r="F40" s="11"/>
    </row>
    <row r="41">
      <c r="A41" s="8"/>
      <c r="B41" s="14" t="s">
        <v>27</v>
      </c>
      <c r="C41" s="15">
        <v>44.71722845946524</v>
      </c>
      <c r="D41" s="15">
        <v>60.46676039293531</v>
      </c>
      <c r="E41" s="15">
        <v>51.29715049722014</v>
      </c>
      <c r="F41" s="11"/>
    </row>
    <row r="42">
      <c r="A42" s="8"/>
      <c r="B42" s="14" t="s">
        <v>28</v>
      </c>
      <c r="C42" s="15">
        <v>44.87705047983063</v>
      </c>
      <c r="D42" s="15">
        <v>60.6844134106529</v>
      </c>
      <c r="E42" s="15">
        <v>51.544846911949</v>
      </c>
      <c r="F42" s="11"/>
    </row>
    <row r="43">
      <c r="A43" s="8"/>
      <c r="B43" s="14" t="s">
        <v>29</v>
      </c>
      <c r="C43" s="15">
        <v>45.50313764506175</v>
      </c>
      <c r="D43" s="15">
        <v>61.246172494146975</v>
      </c>
      <c r="E43" s="15">
        <v>52.2100457255531</v>
      </c>
      <c r="F43" s="11"/>
    </row>
    <row r="44">
      <c r="A44" s="8"/>
      <c r="B44" s="14" t="s">
        <v>30</v>
      </c>
      <c r="C44" s="15">
        <v>45.927820092052784</v>
      </c>
      <c r="D44" s="15">
        <v>61.03510136996085</v>
      </c>
      <c r="E44" s="15">
        <v>52.27144609027441</v>
      </c>
      <c r="F44" s="11"/>
    </row>
    <row r="45">
      <c r="A45" s="8"/>
      <c r="B45" s="14" t="s">
        <v>31</v>
      </c>
      <c r="C45" s="15">
        <v>45.442324395006096</v>
      </c>
      <c r="D45" s="15">
        <v>58.479671683480476</v>
      </c>
      <c r="E45" s="15">
        <v>50.923381436404036</v>
      </c>
      <c r="F45" s="11"/>
    </row>
    <row r="46">
      <c r="A46" s="8"/>
      <c r="B46" s="14" t="s">
        <v>32</v>
      </c>
      <c r="C46" s="16">
        <v>46.013700474407976</v>
      </c>
      <c r="D46" s="16">
        <v>58.876456694469226</v>
      </c>
      <c r="E46" s="16">
        <v>51.43670286071687</v>
      </c>
      <c r="F46" s="11"/>
    </row>
    <row r="47">
      <c r="A47" s="8"/>
      <c r="B47" s="14" t="s">
        <v>33</v>
      </c>
      <c r="C47" s="16">
        <v>46.955366308252</v>
      </c>
      <c r="D47" s="16">
        <v>61.388132270551104</v>
      </c>
      <c r="E47" s="16">
        <v>53.07189766655104</v>
      </c>
      <c r="F47" s="11"/>
    </row>
    <row r="48">
      <c r="A48" s="8"/>
      <c r="B48" s="14" t="s">
        <v>34</v>
      </c>
      <c r="C48" s="16">
        <v>48.07435480893072</v>
      </c>
      <c r="D48" s="16">
        <v>63.09415931605001</v>
      </c>
      <c r="E48" s="16">
        <v>54.478652061890685</v>
      </c>
      <c r="F48" s="11"/>
    </row>
    <row r="49">
      <c r="A49" s="17"/>
      <c r="B49" s="18" t="s">
        <v>35</v>
      </c>
      <c r="C49" s="19"/>
      <c r="D49" s="19"/>
      <c r="E49" s="20"/>
      <c r="F49" s="21"/>
    </row>
  </sheetData>
  <mergeCells count="1">
    <mergeCell ref="B49:E4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F1" s="1" t="s">
        <v>4</v>
      </c>
      <c r="G1" s="2" t="s">
        <v>5</v>
      </c>
      <c r="H1" s="2" t="s">
        <v>6</v>
      </c>
      <c r="I1" s="2" t="s">
        <v>7</v>
      </c>
    </row>
    <row r="2">
      <c r="A2" s="3" t="str">
        <f>IFERROR(__xludf.DUMMYFUNCTION("to_text(INDIRECT(""Trimestriel!B22""))"),"2025T4")</f>
        <v>2025T4</v>
      </c>
      <c r="B2" s="4" t="str">
        <f>IFERROR(__xludf.DUMMYFUNCTION("to_text(INDIRECT(""Trimestriel!C22""))"),"42,8")</f>
        <v>42,8</v>
      </c>
      <c r="C2" s="4" t="str">
        <f>IFERROR(__xludf.DUMMYFUNCTION("to_text(INDIRECT(""Trimestriel!D22""))"),"47,0")</f>
        <v>47,0</v>
      </c>
      <c r="D2" s="4" t="str">
        <f>IFERROR(__xludf.DUMMYFUNCTION("to_text(INDIRECT(""Trimestriel!E22""))"),"44,2")</f>
        <v>44,2</v>
      </c>
      <c r="F2" s="5" t="str">
        <f>IFERROR(__xludf.DUMMYFUNCTION("to_text(INDIRECT(""Annuel!B22""))"),"2025")</f>
        <v>2025</v>
      </c>
      <c r="G2" s="4" t="str">
        <f>IFERROR(__xludf.DUMMYFUNCTION("to_text(INDIRECT(""Annuel!C22""))"),"42,2")</f>
        <v>42,2</v>
      </c>
      <c r="H2" s="4" t="str">
        <f>IFERROR(__xludf.DUMMYFUNCTION("to_text(INDIRECT(""Annuel!D22""))"),"46,1")</f>
        <v>46,1</v>
      </c>
      <c r="I2" s="4" t="str">
        <f>IFERROR(__xludf.DUMMYFUNCTION("to_text(INDIRECT(""Annuel!E22""))"),"43,5")</f>
        <v>43,5</v>
      </c>
    </row>
  </sheetData>
  <drawing r:id="rId1"/>
</worksheet>
</file>